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2c6s2h3/Documents/"/>
    </mc:Choice>
  </mc:AlternateContent>
  <xr:revisionPtr revIDLastSave="0" documentId="8_{0B3A8F26-3A35-734E-A96C-60DD5FEDB179}" xr6:coauthVersionLast="47" xr6:coauthVersionMax="47" xr10:uidLastSave="{00000000-0000-0000-0000-000000000000}"/>
  <bookViews>
    <workbookView xWindow="0" yWindow="660" windowWidth="34560" windowHeight="21680" xr2:uid="{A2704F0D-414F-4247-82F9-50F4F7C1528F}"/>
  </bookViews>
  <sheets>
    <sheet name="Matriz_Trazabilidad_MT-CD-001" sheetId="1" r:id="rId1"/>
    <sheet name="Resumen_Metrica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22" i="2"/>
  <c r="B21" i="2"/>
  <c r="B20" i="2"/>
  <c r="B14" i="2"/>
  <c r="B13" i="2"/>
  <c r="B3" i="2"/>
  <c r="B16" i="2" s="1"/>
  <c r="B6" i="2"/>
  <c r="B5" i="2"/>
  <c r="B4" i="2"/>
  <c r="B7" i="2" l="1"/>
  <c r="B15" i="2"/>
  <c r="B9" i="2"/>
  <c r="B8" i="2"/>
</calcChain>
</file>

<file path=xl/sharedStrings.xml><?xml version="1.0" encoding="utf-8"?>
<sst xmlns="http://schemas.openxmlformats.org/spreadsheetml/2006/main" count="189" uniqueCount="112">
  <si>
    <t>MATRIZ DE TRAZABILIDAD – PROYECTO CRÉDITO DIGITAL</t>
  </si>
  <si>
    <r>
      <t>Documento:</t>
    </r>
    <r>
      <rPr>
        <sz val="16"/>
        <color theme="1"/>
        <rFont val="Aptos Narrow"/>
        <family val="2"/>
        <scheme val="minor"/>
      </rPr>
      <t xml:space="preserve"> MT-CD-001</t>
    </r>
  </si>
  <si>
    <r>
      <t>Versión:</t>
    </r>
    <r>
      <rPr>
        <sz val="16"/>
        <color theme="1"/>
        <rFont val="Aptos Narrow"/>
        <family val="2"/>
        <scheme val="minor"/>
      </rPr>
      <t xml:space="preserve"> 1.0</t>
    </r>
  </si>
  <si>
    <r>
      <t>Proyecto:</t>
    </r>
    <r>
      <rPr>
        <sz val="16"/>
        <color theme="1"/>
        <rFont val="Aptos Narrow"/>
        <family val="2"/>
        <scheme val="minor"/>
      </rPr>
      <t xml:space="preserve"> Crédito Digital Web App</t>
    </r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</si>
  <si>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</si>
  <si>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</si>
  <si>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</si>
  <si>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</si>
  <si>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</si>
  <si>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</si>
  <si>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</si>
  <si>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</si>
  <si>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MATRIZ DE TRAZABILIDAD COMPLETA</t>
  </si>
  <si>
    <t>TC ID</t>
  </si>
  <si>
    <t>Prioridad</t>
  </si>
  <si>
    <t>Automatizable</t>
  </si>
  <si>
    <t>TC01</t>
  </si>
  <si>
    <t>P0</t>
  </si>
  <si>
    <t>Login exitoso</t>
  </si>
  <si>
    <t>UI</t>
  </si>
  <si>
    <t>Onboarding</t>
  </si>
  <si>
    <t>Automatizado</t>
  </si>
  <si>
    <t>TC02</t>
  </si>
  <si>
    <t>Login fallido</t>
  </si>
  <si>
    <t>TC03</t>
  </si>
  <si>
    <t>TC04</t>
  </si>
  <si>
    <t>reCAPTCHA inválido</t>
  </si>
  <si>
    <t>Automatizado (Mock)</t>
  </si>
  <si>
    <t>TC05</t>
  </si>
  <si>
    <t>P1</t>
  </si>
  <si>
    <t>Simulación válida API</t>
  </si>
  <si>
    <t>API</t>
  </si>
  <si>
    <t>Simulador</t>
  </si>
  <si>
    <t>TC06</t>
  </si>
  <si>
    <t>Monto 0 inválido</t>
  </si>
  <si>
    <t>TC07</t>
  </si>
  <si>
    <t>Simulación monto alto válido</t>
  </si>
  <si>
    <t>TC08</t>
  </si>
  <si>
    <t>Monto fuera de rango</t>
  </si>
  <si>
    <t>TC09</t>
  </si>
  <si>
    <t>P2</t>
  </si>
  <si>
    <t>Obtener productos con token válido</t>
  </si>
  <si>
    <t>Productos</t>
  </si>
  <si>
    <t>TC10</t>
  </si>
  <si>
    <t>Obtener productos sin token (401)</t>
  </si>
  <si>
    <r>
      <t xml:space="preserve">Fecha: </t>
    </r>
    <r>
      <rPr>
        <sz val="16"/>
        <color theme="1"/>
        <rFont val="Aptos Narrow"/>
        <scheme val="minor"/>
      </rPr>
      <t>11/02/2026</t>
    </r>
  </si>
  <si>
    <r>
      <t>Responsible:</t>
    </r>
    <r>
      <rPr>
        <sz val="16"/>
        <color theme="1"/>
        <rFont val="Aptos Narrow"/>
        <scheme val="minor"/>
      </rPr>
      <t xml:space="preserve"> Lider QA</t>
    </r>
  </si>
  <si>
    <t>Requisito ID</t>
  </si>
  <si>
    <t>Descripción Requisito</t>
  </si>
  <si>
    <t>Descripción Caso de Prueba</t>
  </si>
  <si>
    <t>Módulo</t>
  </si>
  <si>
    <t>Tipo Prueba</t>
  </si>
  <si>
    <t>Nivel Riesgo</t>
  </si>
  <si>
    <t>Estado Automatización</t>
  </si>
  <si>
    <t>Observaciones</t>
  </si>
  <si>
    <t>Autenticación de usuario</t>
  </si>
  <si>
    <t>Crítico</t>
  </si>
  <si>
    <t>Sí</t>
  </si>
  <si>
    <t>Validación acceso correcto</t>
  </si>
  <si>
    <t>Validación credenciales incorrectas</t>
  </si>
  <si>
    <t>Validación campos obligatorios</t>
  </si>
  <si>
    <t>Campos vacíos en login</t>
  </si>
  <si>
    <t>Validación mensajes obligatorios</t>
  </si>
  <si>
    <t>Validación reCAPTCHA</t>
  </si>
  <si>
    <t>UI + Mock</t>
  </si>
  <si>
    <t>Parcial</t>
  </si>
  <si>
    <t>No se automatiza desafío real</t>
  </si>
  <si>
    <t>Simulación crédito</t>
  </si>
  <si>
    <t>Alto</t>
  </si>
  <si>
    <t>Validación status 200</t>
  </si>
  <si>
    <t>Reglas de negocio simulador</t>
  </si>
  <si>
    <t>Validación status 400</t>
  </si>
  <si>
    <t>API simulador disponible</t>
  </si>
  <si>
    <t>Validación límites permitidos</t>
  </si>
  <si>
    <t>Validación rechazo monto inválido</t>
  </si>
  <si>
    <t>API productos disponible</t>
  </si>
  <si>
    <t>Medio</t>
  </si>
  <si>
    <t>Validación autenticación API productos</t>
  </si>
  <si>
    <t>Validación control acceso</t>
  </si>
  <si>
    <t>Estado Ejecución</t>
  </si>
  <si>
    <t>Fecha Ejecución</t>
  </si>
  <si>
    <t>Build Versión</t>
  </si>
  <si>
    <t>Sprint</t>
  </si>
  <si>
    <t>Tester</t>
  </si>
  <si>
    <t>Defect ID</t>
  </si>
  <si>
    <t>Severidad</t>
  </si>
  <si>
    <t>Exitoso</t>
  </si>
  <si>
    <t>1.0.0</t>
  </si>
  <si>
    <t>QA Automation</t>
  </si>
  <si>
    <t>Fallido</t>
  </si>
  <si>
    <t>Métricas Globales</t>
  </si>
  <si>
    <t>Total Casos</t>
  </si>
  <si>
    <t>Bloqueado</t>
  </si>
  <si>
    <t>Total Exitosos</t>
  </si>
  <si>
    <t>Total Fallidos</t>
  </si>
  <si>
    <t>Total Bloqueados</t>
  </si>
  <si>
    <t>% Exitoso</t>
  </si>
  <si>
    <t>% Fallido</t>
  </si>
  <si>
    <t>% Bloqueado</t>
  </si>
  <si>
    <t>Automatización</t>
  </si>
  <si>
    <t>Defectos</t>
  </si>
  <si>
    <t>Total Automatizados</t>
  </si>
  <si>
    <t>Total Automatizados Parcial</t>
  </si>
  <si>
    <t>% Automatizado</t>
  </si>
  <si>
    <t>% Automatizado Parcial</t>
  </si>
  <si>
    <t>Total Defectos</t>
  </si>
  <si>
    <t>Defectos Severidad Alta</t>
  </si>
  <si>
    <t>Defectos Severidad Media</t>
  </si>
  <si>
    <t>Defectos Severidad Baja</t>
  </si>
  <si>
    <t>Alta</t>
  </si>
  <si>
    <t>Baja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</si>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</sst>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22"/>
      <color theme="3"/>
      <name val="Aptos Display"/>
      <family val="2"/>
      <scheme val="major"/>
    </font>
    <font>
      <sz val="24"/>
      <color theme="3"/>
      <name val="Aptos Display"/>
      <family val="2"/>
      <scheme val="maj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scheme val="minor"/>
    </font>
    <font>
      <sz val="16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2" xfId="2" applyFont="1" applyBorder="1" applyAlignment="1">
      <alignment horizontal="left" vertical="center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left" vertical="center"/>
    </xf>
    <xf numFmtId="0" fontId="3" fillId="0" borderId="2" xfId="2" applyFont="1" applyFill="1" applyBorder="1" applyAlignment="1">
      <alignment horizontal="left"/>
    </xf>
    <xf numFmtId="0" fontId="8" fillId="0" borderId="1" xfId="0" applyFont="1" applyBorder="1"/>
    <xf numFmtId="9" fontId="8" fillId="0" borderId="1" xfId="1" applyFont="1" applyBorder="1"/>
    <xf numFmtId="0" fontId="4" fillId="0" borderId="2" xfId="2" applyFont="1" applyBorder="1" applyAlignment="1">
      <alignment horizontal="center"/>
    </xf>
    <xf numFmtId="14" fontId="6" fillId="0" borderId="1" xfId="0" applyNumberFormat="1" applyFont="1" applyBorder="1"/>
  </cellXfs>
  <cellStyles count="3">
    <cellStyle name="Normal" xfId="0" builtinId="0"/>
    <cellStyle name="Porcentaje" xfId="1" builtinId="5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77A1-758D-A646-B6E6-709EC48E53B3}">
  <dimension ref="A1:R21"/>
  <sheetViews>
    <sheetView tabSelected="1" zoomScale="120" zoomScaleNormal="120" workbookViewId="0">
      <selection sqref="A1:F1"/>
    </sheetView>
  </sheetViews>
  <sheetFormatPr baseColWidth="10" defaultRowHeight="16" x14ac:dyDescent="0.2"/>
  <cols>
    <col min="1" max="1" width="14.6640625" bestFit="1" customWidth="1"/>
    <col min="2" max="2" width="43.83203125" bestFit="1" customWidth="1"/>
    <col min="3" max="3" width="7" bestFit="1" customWidth="1"/>
    <col min="4" max="4" width="39.83203125" bestFit="1" customWidth="1"/>
    <col min="5" max="5" width="11.1640625" bestFit="1" customWidth="1"/>
    <col min="6" max="7" width="14" bestFit="1" customWidth="1"/>
    <col min="8" max="8" width="14.83203125" bestFit="1" customWidth="1"/>
    <col min="9" max="9" width="17.33203125" bestFit="1" customWidth="1"/>
    <col min="10" max="10" width="27" bestFit="1" customWidth="1"/>
    <col min="11" max="11" width="20.33203125" bestFit="1" customWidth="1"/>
    <col min="12" max="12" width="19.33203125" bestFit="1" customWidth="1"/>
    <col min="13" max="13" width="15.6640625" bestFit="1" customWidth="1"/>
    <col min="14" max="14" width="7.83203125" bestFit="1" customWidth="1"/>
    <col min="15" max="15" width="17.83203125" bestFit="1" customWidth="1"/>
    <col min="16" max="16" width="11.5" bestFit="1" customWidth="1"/>
    <col min="17" max="17" width="12.1640625" bestFit="1" customWidth="1"/>
    <col min="18" max="18" width="40" bestFit="1" customWidth="1"/>
  </cols>
  <sheetData>
    <row r="1" spans="1:18" ht="31" thickBot="1" x14ac:dyDescent="0.25">
      <c r="A1" s="1" t="s">
        <v>0</v>
      </c>
      <c r="B1" s="1"/>
      <c r="C1" s="1"/>
      <c r="D1" s="1"/>
      <c r="E1" s="1"/>
      <c r="F1" s="1"/>
    </row>
    <row r="2" spans="1:18" ht="17" thickTop="1" x14ac:dyDescent="0.2"/>
    <row r="3" spans="1:18" ht="22" x14ac:dyDescent="0.2">
      <c r="A3" s="4" t="s">
        <v>1</v>
      </c>
      <c r="B3" s="4"/>
      <c r="C3" s="4"/>
      <c r="D3" s="4"/>
      <c r="E3" s="4"/>
      <c r="F3" s="4"/>
    </row>
    <row r="4" spans="1:18" ht="22" x14ac:dyDescent="0.2">
      <c r="A4" s="4" t="s">
        <v>2</v>
      </c>
      <c r="B4" s="4"/>
      <c r="C4" s="4"/>
      <c r="D4" s="4"/>
      <c r="E4" s="4"/>
      <c r="F4" s="4"/>
    </row>
    <row r="5" spans="1:18" ht="22" x14ac:dyDescent="0.2">
      <c r="A5" s="4" t="s">
        <v>3</v>
      </c>
      <c r="B5" s="4"/>
      <c r="C5" s="4"/>
      <c r="D5" s="4"/>
      <c r="E5" s="4"/>
      <c r="F5" s="4"/>
    </row>
    <row r="6" spans="1:18" ht="22" x14ac:dyDescent="0.2">
      <c r="A6" s="4" t="s">
        <v>45</v>
      </c>
      <c r="B6" s="4"/>
      <c r="C6" s="4"/>
      <c r="D6" s="4"/>
      <c r="E6" s="4"/>
      <c r="F6" s="4"/>
    </row>
    <row r="7" spans="1:18" ht="22" x14ac:dyDescent="0.2">
      <c r="A7" s="4" t="s">
        <v>46</v>
      </c>
      <c r="B7" s="4"/>
      <c r="C7" s="4"/>
      <c r="D7" s="4"/>
      <c r="E7" s="4"/>
      <c r="F7" s="4"/>
    </row>
    <row r="9" spans="1:18" ht="30" thickBot="1" x14ac:dyDescent="0.4">
      <c r="A9" s="5" t="s">
        <v>12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7" thickTop="1" x14ac:dyDescent="0.2"/>
    <row r="11" spans="1:18" ht="22" x14ac:dyDescent="0.3">
      <c r="A11" s="2" t="s">
        <v>47</v>
      </c>
      <c r="B11" s="2" t="s">
        <v>48</v>
      </c>
      <c r="C11" s="2" t="s">
        <v>13</v>
      </c>
      <c r="D11" s="2" t="s">
        <v>49</v>
      </c>
      <c r="E11" s="2" t="s">
        <v>14</v>
      </c>
      <c r="F11" s="2" t="s">
        <v>50</v>
      </c>
      <c r="G11" s="2" t="s">
        <v>51</v>
      </c>
      <c r="H11" s="2" t="s">
        <v>52</v>
      </c>
      <c r="I11" s="2" t="s">
        <v>15</v>
      </c>
      <c r="J11" s="2" t="s">
        <v>53</v>
      </c>
      <c r="K11" s="2" t="s">
        <v>79</v>
      </c>
      <c r="L11" s="2" t="s">
        <v>80</v>
      </c>
      <c r="M11" s="2" t="s">
        <v>81</v>
      </c>
      <c r="N11" s="2" t="s">
        <v>82</v>
      </c>
      <c r="O11" s="2" t="s">
        <v>83</v>
      </c>
      <c r="P11" s="2" t="s">
        <v>84</v>
      </c>
      <c r="Q11" s="2" t="s">
        <v>85</v>
      </c>
      <c r="R11" s="2" t="s">
        <v>54</v>
      </c>
    </row>
    <row r="12" spans="1:18" ht="22" x14ac:dyDescent="0.3">
      <c r="A12" s="3" t="s">
        <v>4</v>
      </c>
      <c r="B12" s="3" t="s">
        <v>55</v>
      </c>
      <c r="C12" s="3" t="s">
        <v>16</v>
      </c>
      <c r="D12" s="3" t="s">
        <v>18</v>
      </c>
      <c r="E12" s="3" t="s">
        <v>17</v>
      </c>
      <c r="F12" s="3" t="s">
        <v>20</v>
      </c>
      <c r="G12" s="3" t="s">
        <v>19</v>
      </c>
      <c r="H12" s="3" t="s">
        <v>56</v>
      </c>
      <c r="I12" s="3" t="s">
        <v>57</v>
      </c>
      <c r="J12" s="3" t="s">
        <v>21</v>
      </c>
      <c r="K12" s="3" t="s">
        <v>89</v>
      </c>
      <c r="L12" s="9">
        <v>46063</v>
      </c>
      <c r="M12" s="3" t="s">
        <v>87</v>
      </c>
      <c r="N12" s="3">
        <v>1</v>
      </c>
      <c r="O12" s="3" t="s">
        <v>88</v>
      </c>
      <c r="P12" s="3">
        <v>1</v>
      </c>
      <c r="Q12" s="3" t="s">
        <v>109</v>
      </c>
      <c r="R12" s="3" t="s">
        <v>58</v>
      </c>
    </row>
    <row r="13" spans="1:18" ht="22" x14ac:dyDescent="0.3">
      <c r="A13" s="3" t="s">
        <v>4</v>
      </c>
      <c r="B13" s="3" t="s">
        <v>55</v>
      </c>
      <c r="C13" s="3" t="s">
        <v>22</v>
      </c>
      <c r="D13" s="3" t="s">
        <v>23</v>
      </c>
      <c r="E13" s="3" t="s">
        <v>17</v>
      </c>
      <c r="F13" s="3" t="s">
        <v>20</v>
      </c>
      <c r="G13" s="3" t="s">
        <v>19</v>
      </c>
      <c r="H13" s="3" t="s">
        <v>56</v>
      </c>
      <c r="I13" s="3" t="s">
        <v>57</v>
      </c>
      <c r="J13" s="3" t="s">
        <v>21</v>
      </c>
      <c r="K13" s="3" t="s">
        <v>86</v>
      </c>
      <c r="L13" s="9">
        <v>46063</v>
      </c>
      <c r="M13" s="3" t="s">
        <v>87</v>
      </c>
      <c r="N13" s="3">
        <v>1</v>
      </c>
      <c r="O13" s="3" t="s">
        <v>88</v>
      </c>
      <c r="P13" s="3"/>
      <c r="Q13" s="3"/>
      <c r="R13" s="3" t="s">
        <v>59</v>
      </c>
    </row>
    <row r="14" spans="1:18" ht="22" x14ac:dyDescent="0.3">
      <c r="A14" s="3" t="s">
        <v>5</v>
      </c>
      <c r="B14" s="3" t="s">
        <v>60</v>
      </c>
      <c r="C14" s="3" t="s">
        <v>24</v>
      </c>
      <c r="D14" s="3" t="s">
        <v>61</v>
      </c>
      <c r="E14" s="3" t="s">
        <v>17</v>
      </c>
      <c r="F14" s="3" t="s">
        <v>20</v>
      </c>
      <c r="G14" s="3" t="s">
        <v>19</v>
      </c>
      <c r="H14" s="3" t="s">
        <v>56</v>
      </c>
      <c r="I14" s="3" t="s">
        <v>57</v>
      </c>
      <c r="J14" s="3" t="s">
        <v>21</v>
      </c>
      <c r="K14" s="3" t="s">
        <v>89</v>
      </c>
      <c r="L14" s="9">
        <v>46063</v>
      </c>
      <c r="M14" s="3" t="s">
        <v>87</v>
      </c>
      <c r="N14" s="3">
        <v>1</v>
      </c>
      <c r="O14" s="3" t="s">
        <v>88</v>
      </c>
      <c r="P14" s="3">
        <v>2</v>
      </c>
      <c r="Q14" s="3" t="s">
        <v>110</v>
      </c>
      <c r="R14" s="3" t="s">
        <v>62</v>
      </c>
    </row>
    <row r="15" spans="1:18" ht="22" x14ac:dyDescent="0.3">
      <c r="A15" s="3" t="s">
        <v>6</v>
      </c>
      <c r="B15" s="3" t="s">
        <v>63</v>
      </c>
      <c r="C15" s="3" t="s">
        <v>25</v>
      </c>
      <c r="D15" s="3" t="s">
        <v>26</v>
      </c>
      <c r="E15" s="3" t="s">
        <v>17</v>
      </c>
      <c r="F15" s="3" t="s">
        <v>20</v>
      </c>
      <c r="G15" s="3" t="s">
        <v>64</v>
      </c>
      <c r="H15" s="3" t="s">
        <v>56</v>
      </c>
      <c r="I15" s="3" t="s">
        <v>65</v>
      </c>
      <c r="J15" s="3" t="s">
        <v>27</v>
      </c>
      <c r="K15" s="3" t="s">
        <v>92</v>
      </c>
      <c r="L15" s="9">
        <v>46063</v>
      </c>
      <c r="M15" s="3" t="s">
        <v>87</v>
      </c>
      <c r="N15" s="3">
        <v>1</v>
      </c>
      <c r="O15" s="3" t="s">
        <v>88</v>
      </c>
      <c r="P15" s="3"/>
      <c r="Q15" s="3"/>
      <c r="R15" s="3" t="s">
        <v>66</v>
      </c>
    </row>
    <row r="16" spans="1:18" ht="22" x14ac:dyDescent="0.3">
      <c r="A16" s="3" t="s">
        <v>7</v>
      </c>
      <c r="B16" s="3" t="s">
        <v>67</v>
      </c>
      <c r="C16" s="3" t="s">
        <v>28</v>
      </c>
      <c r="D16" s="3" t="s">
        <v>30</v>
      </c>
      <c r="E16" s="3" t="s">
        <v>29</v>
      </c>
      <c r="F16" s="3" t="s">
        <v>32</v>
      </c>
      <c r="G16" s="3" t="s">
        <v>31</v>
      </c>
      <c r="H16" s="3" t="s">
        <v>68</v>
      </c>
      <c r="I16" s="3" t="s">
        <v>57</v>
      </c>
      <c r="J16" s="3" t="s">
        <v>21</v>
      </c>
      <c r="K16" s="3" t="s">
        <v>89</v>
      </c>
      <c r="L16" s="9">
        <v>46063</v>
      </c>
      <c r="M16" s="3" t="s">
        <v>87</v>
      </c>
      <c r="N16" s="3">
        <v>1</v>
      </c>
      <c r="O16" s="3" t="s">
        <v>88</v>
      </c>
      <c r="P16" s="3">
        <v>3</v>
      </c>
      <c r="Q16" s="3" t="s">
        <v>111</v>
      </c>
      <c r="R16" s="3" t="s">
        <v>69</v>
      </c>
    </row>
    <row r="17" spans="1:18" ht="22" x14ac:dyDescent="0.3">
      <c r="A17" s="3" t="s">
        <v>8</v>
      </c>
      <c r="B17" s="3" t="s">
        <v>70</v>
      </c>
      <c r="C17" s="3" t="s">
        <v>33</v>
      </c>
      <c r="D17" s="3" t="s">
        <v>34</v>
      </c>
      <c r="E17" s="3" t="s">
        <v>29</v>
      </c>
      <c r="F17" s="3" t="s">
        <v>32</v>
      </c>
      <c r="G17" s="3" t="s">
        <v>31</v>
      </c>
      <c r="H17" s="3" t="s">
        <v>68</v>
      </c>
      <c r="I17" s="3" t="s">
        <v>57</v>
      </c>
      <c r="J17" s="3" t="s">
        <v>21</v>
      </c>
      <c r="K17" s="3" t="s">
        <v>89</v>
      </c>
      <c r="L17" s="9">
        <v>46063</v>
      </c>
      <c r="M17" s="3" t="s">
        <v>87</v>
      </c>
      <c r="N17" s="3">
        <v>1</v>
      </c>
      <c r="O17" s="3" t="s">
        <v>88</v>
      </c>
      <c r="P17" s="3">
        <v>4</v>
      </c>
      <c r="Q17" s="3" t="s">
        <v>110</v>
      </c>
      <c r="R17" s="3" t="s">
        <v>71</v>
      </c>
    </row>
    <row r="18" spans="1:18" ht="22" x14ac:dyDescent="0.3">
      <c r="A18" s="3" t="s">
        <v>9</v>
      </c>
      <c r="B18" s="3" t="s">
        <v>72</v>
      </c>
      <c r="C18" s="3" t="s">
        <v>35</v>
      </c>
      <c r="D18" s="3" t="s">
        <v>36</v>
      </c>
      <c r="E18" s="3" t="s">
        <v>29</v>
      </c>
      <c r="F18" s="3" t="s">
        <v>32</v>
      </c>
      <c r="G18" s="3" t="s">
        <v>31</v>
      </c>
      <c r="H18" s="3" t="s">
        <v>68</v>
      </c>
      <c r="I18" s="3" t="s">
        <v>57</v>
      </c>
      <c r="J18" s="3" t="s">
        <v>21</v>
      </c>
      <c r="K18" s="3" t="s">
        <v>86</v>
      </c>
      <c r="L18" s="9">
        <v>46063</v>
      </c>
      <c r="M18" s="3" t="s">
        <v>87</v>
      </c>
      <c r="N18" s="3">
        <v>1</v>
      </c>
      <c r="O18" s="3" t="s">
        <v>88</v>
      </c>
      <c r="P18" s="3"/>
      <c r="Q18" s="3"/>
      <c r="R18" s="3" t="s">
        <v>73</v>
      </c>
    </row>
    <row r="19" spans="1:18" ht="22" x14ac:dyDescent="0.3">
      <c r="A19" s="3" t="s">
        <v>8</v>
      </c>
      <c r="B19" s="3" t="s">
        <v>70</v>
      </c>
      <c r="C19" s="3" t="s">
        <v>37</v>
      </c>
      <c r="D19" s="3" t="s">
        <v>38</v>
      </c>
      <c r="E19" s="3" t="s">
        <v>29</v>
      </c>
      <c r="F19" s="3" t="s">
        <v>32</v>
      </c>
      <c r="G19" s="3" t="s">
        <v>31</v>
      </c>
      <c r="H19" s="3" t="s">
        <v>68</v>
      </c>
      <c r="I19" s="3" t="s">
        <v>57</v>
      </c>
      <c r="J19" s="3" t="s">
        <v>21</v>
      </c>
      <c r="K19" s="3" t="s">
        <v>89</v>
      </c>
      <c r="L19" s="9">
        <v>46063</v>
      </c>
      <c r="M19" s="3" t="s">
        <v>87</v>
      </c>
      <c r="N19" s="3">
        <v>1</v>
      </c>
      <c r="O19" s="3" t="s">
        <v>88</v>
      </c>
      <c r="P19" s="3">
        <v>5</v>
      </c>
      <c r="Q19" s="3" t="s">
        <v>109</v>
      </c>
      <c r="R19" s="3" t="s">
        <v>74</v>
      </c>
    </row>
    <row r="20" spans="1:18" ht="22" x14ac:dyDescent="0.3">
      <c r="A20" s="3" t="s">
        <v>10</v>
      </c>
      <c r="B20" s="3" t="s">
        <v>75</v>
      </c>
      <c r="C20" s="3" t="s">
        <v>39</v>
      </c>
      <c r="D20" s="3" t="s">
        <v>41</v>
      </c>
      <c r="E20" s="3" t="s">
        <v>40</v>
      </c>
      <c r="F20" s="3" t="s">
        <v>42</v>
      </c>
      <c r="G20" s="3" t="s">
        <v>31</v>
      </c>
      <c r="H20" s="3" t="s">
        <v>76</v>
      </c>
      <c r="I20" s="3" t="s">
        <v>57</v>
      </c>
      <c r="J20" s="3" t="s">
        <v>21</v>
      </c>
      <c r="K20" s="3" t="s">
        <v>86</v>
      </c>
      <c r="L20" s="9">
        <v>46063</v>
      </c>
      <c r="M20" s="3" t="s">
        <v>87</v>
      </c>
      <c r="N20" s="3">
        <v>1</v>
      </c>
      <c r="O20" s="3" t="s">
        <v>88</v>
      </c>
      <c r="P20" s="3"/>
      <c r="Q20" s="3"/>
      <c r="R20" s="3" t="s">
        <v>69</v>
      </c>
    </row>
    <row r="21" spans="1:18" ht="22" x14ac:dyDescent="0.3">
      <c r="A21" s="3" t="s">
        <v>11</v>
      </c>
      <c r="B21" s="3" t="s">
        <v>77</v>
      </c>
      <c r="C21" s="3" t="s">
        <v>43</v>
      </c>
      <c r="D21" s="3" t="s">
        <v>44</v>
      </c>
      <c r="E21" s="3" t="s">
        <v>40</v>
      </c>
      <c r="F21" s="3" t="s">
        <v>42</v>
      </c>
      <c r="G21" s="3" t="s">
        <v>31</v>
      </c>
      <c r="H21" s="3" t="s">
        <v>76</v>
      </c>
      <c r="I21" s="3" t="s">
        <v>57</v>
      </c>
      <c r="J21" s="3" t="s">
        <v>21</v>
      </c>
      <c r="K21" s="3" t="s">
        <v>89</v>
      </c>
      <c r="L21" s="9">
        <v>46063</v>
      </c>
      <c r="M21" s="3" t="s">
        <v>87</v>
      </c>
      <c r="N21" s="3">
        <v>1</v>
      </c>
      <c r="O21" s="3" t="s">
        <v>88</v>
      </c>
      <c r="P21" s="3">
        <v>6</v>
      </c>
      <c r="Q21" s="3" t="s">
        <v>109</v>
      </c>
      <c r="R21" s="3" t="s">
        <v>78</v>
      </c>
    </row>
  </sheetData>
  <mergeCells count="7">
    <mergeCell ref="A1:F1"/>
    <mergeCell ref="A3:F3"/>
    <mergeCell ref="A4:F4"/>
    <mergeCell ref="A5:F5"/>
    <mergeCell ref="A6:F6"/>
    <mergeCell ref="A9:R9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F854-1182-3D4E-A855-F42D20645152}">
  <dimension ref="A1:B23"/>
  <sheetViews>
    <sheetView workbookViewId="0">
      <selection sqref="A1:B1"/>
    </sheetView>
  </sheetViews>
  <sheetFormatPr baseColWidth="10" defaultRowHeight="16" x14ac:dyDescent="0.2"/>
  <cols>
    <col min="1" max="1" width="31.83203125" bestFit="1" customWidth="1"/>
    <col min="2" max="2" width="16.33203125" bestFit="1" customWidth="1"/>
  </cols>
  <sheetData>
    <row r="1" spans="1:2" ht="31" thickBot="1" x14ac:dyDescent="0.4">
      <c r="A1" s="8" t="s">
        <v>90</v>
      </c>
      <c r="B1" s="8"/>
    </row>
    <row r="2" spans="1:2" ht="17" thickTop="1" x14ac:dyDescent="0.2"/>
    <row r="3" spans="1:2" ht="23" x14ac:dyDescent="0.3">
      <c r="A3" s="3" t="s">
        <v>91</v>
      </c>
      <c r="B3" s="6">
        <f>COUNTA('Matriz_Trazabilidad_MT-CD-001'!C12:C21)</f>
        <v>10</v>
      </c>
    </row>
    <row r="4" spans="1:2" ht="23" x14ac:dyDescent="0.3">
      <c r="A4" s="3" t="s">
        <v>93</v>
      </c>
      <c r="B4" s="6">
        <f>COUNTIF('Matriz_Trazabilidad_MT-CD-001'!K12:K21,"Exitoso")</f>
        <v>3</v>
      </c>
    </row>
    <row r="5" spans="1:2" ht="23" x14ac:dyDescent="0.3">
      <c r="A5" s="3" t="s">
        <v>94</v>
      </c>
      <c r="B5" s="6">
        <f>COUNTIF('Matriz_Trazabilidad_MT-CD-001'!K12:K21,"Fallido")</f>
        <v>6</v>
      </c>
    </row>
    <row r="6" spans="1:2" ht="23" x14ac:dyDescent="0.3">
      <c r="A6" s="3" t="s">
        <v>95</v>
      </c>
      <c r="B6" s="6">
        <f>COUNTIF('Matriz_Trazabilidad_MT-CD-001'!K12:K21,"Bloqueado")</f>
        <v>1</v>
      </c>
    </row>
    <row r="7" spans="1:2" ht="23" x14ac:dyDescent="0.3">
      <c r="A7" s="3" t="s">
        <v>96</v>
      </c>
      <c r="B7" s="7">
        <f>IF(B3=0,0,B4/B3)</f>
        <v>0.3</v>
      </c>
    </row>
    <row r="8" spans="1:2" ht="23" x14ac:dyDescent="0.3">
      <c r="A8" s="3" t="s">
        <v>97</v>
      </c>
      <c r="B8" s="7">
        <f>IF(B3=0,0,B5/B3)</f>
        <v>0.6</v>
      </c>
    </row>
    <row r="9" spans="1:2" ht="23" x14ac:dyDescent="0.3">
      <c r="A9" s="3" t="s">
        <v>98</v>
      </c>
      <c r="B9" s="7">
        <f>IF(B3=0,0,B6/B3)</f>
        <v>0.1</v>
      </c>
    </row>
    <row r="11" spans="1:2" ht="31" thickBot="1" x14ac:dyDescent="0.4">
      <c r="A11" s="8" t="s">
        <v>99</v>
      </c>
      <c r="B11" s="8"/>
    </row>
    <row r="12" spans="1:2" ht="17" thickTop="1" x14ac:dyDescent="0.2"/>
    <row r="13" spans="1:2" ht="23" x14ac:dyDescent="0.3">
      <c r="A13" s="3" t="s">
        <v>101</v>
      </c>
      <c r="B13" s="6">
        <f>COUNTIF('Matriz_Trazabilidad_MT-CD-001'!J12:J21,"Automatizado")</f>
        <v>9</v>
      </c>
    </row>
    <row r="14" spans="1:2" ht="23" x14ac:dyDescent="0.3">
      <c r="A14" s="3" t="s">
        <v>102</v>
      </c>
      <c r="B14" s="6">
        <f>COUNTIF('Matriz_Trazabilidad_MT-CD-001'!J12:J21,"Automatizado (Mock)")</f>
        <v>1</v>
      </c>
    </row>
    <row r="15" spans="1:2" ht="23" x14ac:dyDescent="0.3">
      <c r="A15" s="3" t="s">
        <v>103</v>
      </c>
      <c r="B15" s="7">
        <f>IF(B3=0,0,B13/B3)</f>
        <v>0.9</v>
      </c>
    </row>
    <row r="16" spans="1:2" ht="23" x14ac:dyDescent="0.3">
      <c r="A16" s="3" t="s">
        <v>104</v>
      </c>
      <c r="B16" s="7">
        <f>IF(B3=0,0,B14/B3)</f>
        <v>0.1</v>
      </c>
    </row>
    <row r="18" spans="1:2" ht="31" thickBot="1" x14ac:dyDescent="0.4">
      <c r="A18" s="8" t="s">
        <v>100</v>
      </c>
      <c r="B18" s="8"/>
    </row>
    <row r="19" spans="1:2" ht="17" thickTop="1" x14ac:dyDescent="0.2"/>
    <row r="20" spans="1:2" ht="23" x14ac:dyDescent="0.3">
      <c r="A20" s="3" t="s">
        <v>105</v>
      </c>
      <c r="B20" s="6">
        <f>COUNTA('Matriz_Trazabilidad_MT-CD-001'!P12:P21)</f>
        <v>6</v>
      </c>
    </row>
    <row r="21" spans="1:2" ht="23" x14ac:dyDescent="0.3">
      <c r="A21" s="3" t="s">
        <v>106</v>
      </c>
      <c r="B21" s="6">
        <f>COUNTIF('Matriz_Trazabilidad_MT-CD-001'!Q12:Q21,"Alta")</f>
        <v>3</v>
      </c>
    </row>
    <row r="22" spans="1:2" ht="23" x14ac:dyDescent="0.3">
      <c r="A22" s="3" t="s">
        <v>107</v>
      </c>
      <c r="B22" s="6">
        <f>COUNTIF('Matriz_Trazabilidad_MT-CD-001'!Q12:Q21,"Media")</f>
        <v>1</v>
      </c>
    </row>
    <row r="23" spans="1:2" ht="23" x14ac:dyDescent="0.3">
      <c r="A23" s="3" t="s">
        <v>108</v>
      </c>
      <c r="B23" s="6">
        <f>COUNTIF('Matriz_Trazabilidad_MT-CD-001'!Q12:Q21,"Baja")</f>
        <v>2</v>
      </c>
    </row>
  </sheetData>
  <mergeCells count="3">
    <mergeCell ref="A1:B1"/>
    <mergeCell ref="A11:B11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Matriz_Trazabilidad_MT-CD-001</vt:lpstr>
      <vt:lpstr>Resumen_Metricas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Chiquillo Sanabria</dc:creator>
  <cp:lastModifiedBy>Sergio Andres Chiquillo Sanabria</cp:lastModifiedBy>
  <dcterms:created xsi:type="dcterms:W3CDTF">2026-02-12T03:07:51Z</dcterms:created>
  <dcterms:modified xsi:type="dcterms:W3CDTF">2026-02-12T03:46:27Z</dcterms:modified>
</cp:coreProperties>
</file>